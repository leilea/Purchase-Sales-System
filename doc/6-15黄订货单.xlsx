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<sst xmlns="http://schemas.openxmlformats.org/spreadsheetml/2006/main" count="74" uniqueCount="61">
  <si>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>订货单</t>
  </si>
  <si>
    <t>客户：丽水方特公司</t>
  </si>
  <si>
    <t>地址：浙江丽水缙云县（自提）</t>
  </si>
  <si>
    <t>订货日期</t>
  </si>
  <si>
    <t>联系人：小王</t>
  </si>
  <si>
    <t>联系电话：13134561234</t>
  </si>
  <si>
    <t>付款方式：网上转账</t>
  </si>
  <si>
    <t>是否需要发票：13%</t>
  </si>
  <si>
    <t>运费:我方承担</t>
  </si>
  <si>
    <t>业务负责人：</t>
  </si>
  <si>
    <t>备注：</t>
  </si>
  <si>
    <t>订货信息如下</t>
  </si>
  <si>
    <t>序号</t>
  </si>
  <si>
    <t>产品名称</t>
  </si>
  <si>
    <t>规格</t>
  </si>
  <si>
    <t>等级</t>
  </si>
  <si>
    <t>表面处理</t>
  </si>
  <si>
    <t>件装数量</t>
  </si>
  <si>
    <t>件数</t>
  </si>
  <si>
    <t>配套</t>
  </si>
  <si>
    <t>单位</t>
  </si>
  <si>
    <t>数量</t>
  </si>
  <si>
    <t>单价</t>
  </si>
  <si>
    <t>金额</t>
  </si>
  <si>
    <t>备注</t>
  </si>
  <si>
    <t>方U型丝</t>
  </si>
  <si>
    <t>6*52*45</t>
  </si>
  <si>
    <t>Q235</t>
  </si>
  <si>
    <t>电镀锌</t>
  </si>
  <si>
    <t>1挡板2母</t>
  </si>
  <si>
    <t>套</t>
  </si>
  <si>
    <t>供应商/委外加工信息：</t>
  </si>
  <si>
    <t>供应商</t>
  </si>
  <si>
    <t>供应产品</t>
  </si>
  <si>
    <t>总重</t>
  </si>
  <si>
    <t>单重</t>
  </si>
  <si>
    <t>价格</t>
  </si>
  <si>
    <t>包装</t>
  </si>
  <si>
    <t>税费</t>
  </si>
  <si>
    <t>成本</t>
  </si>
  <si>
    <t>卓牧</t>
  </si>
  <si>
    <t>固特</t>
  </si>
  <si>
    <t>防松母</t>
  </si>
  <si>
    <t>合计</t>
  </si>
  <si>
    <t>销售金额</t>
  </si>
  <si>
    <t>毛利润</t>
  </si>
  <si>
    <t>物流信息</t>
  </si>
  <si>
    <t>物流公司</t>
  </si>
  <si>
    <t>联系人</t>
  </si>
  <si>
    <t>电话</t>
  </si>
  <si>
    <t>开始时间</t>
  </si>
  <si>
    <t>完成时间</t>
  </si>
  <si>
    <t>运输情况</t>
  </si>
  <si>
    <t>运费</t>
  </si>
  <si>
    <t>包装费</t>
  </si>
  <si>
    <t>顺丰物流</t>
  </si>
  <si>
    <t>小张</t>
  </si>
  <si>
    <t>已送到</t>
  </si>
  <si>
    <t>录入CRM：</t>
  </si>
  <si>
    <t>订单审核：</t>
  </si>
  <si>
    <t>发货日期：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</si>
</sst>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27">
    <font>
      <sz val="11"/>
      <name val="宋体"/>
      <charset val="134"/>
    </font>
    <font>
      <b/>
      <sz val="2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</font>
    <font>
      <sz val="12"/>
      <color theme="1"/>
      <name val="Calibri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 shrinkToFit="1"/>
    </xf>
    <xf numFmtId="0" fontId="2" fillId="0" borderId="0" xfId="0" applyFont="1" applyFill="1" applyAlignment="1">
      <alignment horizontal="left" vertical="center" shrinkToFit="1"/>
    </xf>
    <xf numFmtId="0" fontId="2" fillId="0" borderId="0" xfId="0" applyFont="1" applyFill="1" applyAlignment="1">
      <alignment horizontal="center" vertical="center" shrinkToFit="1"/>
    </xf>
    <xf numFmtId="14" fontId="2" fillId="0" borderId="0" xfId="0" applyNumberFormat="1" applyFont="1" applyFill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4" fontId="2" fillId="0" borderId="1" xfId="0" applyNumberFormat="1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shrinkToFit="1"/>
    </xf>
    <xf numFmtId="0" fontId="2" fillId="5" borderId="1" xfId="0" applyFont="1" applyFill="1" applyBorder="1" applyAlignment="1">
      <alignment horizontal="center" vertical="center" shrinkToFit="1"/>
    </xf>
    <xf numFmtId="0" fontId="2" fillId="6" borderId="1" xfId="0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view="pageBreakPreview" zoomScaleNormal="100" workbookViewId="0">
      <selection activeCell="Q12" sqref="Q12"/>
    </sheetView>
  </sheetViews>
  <sheetFormatPr defaultColWidth="9" defaultRowHeight="13.5"/>
  <cols>
    <col min="1" max="1" width="6.84070796460177" customWidth="1"/>
    <col min="2" max="2" width="13.8761061946903" style="1" customWidth="1"/>
    <col min="3" max="3" width="11.2477876106195" style="1" customWidth="1"/>
    <col min="4" max="7" width="9" style="1" customWidth="1"/>
    <col min="8" max="8" width="12.6283185840708" style="1" customWidth="1"/>
    <col min="9" max="9" width="9" style="1"/>
    <col min="10" max="10" width="12.1238938053097" style="1" customWidth="1"/>
    <col min="11" max="11" width="12.6283185840708" style="1"/>
    <col min="12" max="15" width="9" style="1"/>
    <col min="17" max="19" width="12.6283185840708"/>
  </cols>
  <sheetData>
    <row r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spans="1:16">
      <c r="A3" s="3" t="s">
        <v>1</v>
      </c>
      <c r="B3" s="3"/>
      <c r="C3" s="3"/>
      <c r="D3" s="3"/>
      <c r="E3" s="3" t="s">
        <v>2</v>
      </c>
      <c r="F3" s="3"/>
      <c r="G3" s="3"/>
      <c r="H3" s="3"/>
      <c r="I3" s="3"/>
      <c r="J3" s="4" t="s">
        <v>3</v>
      </c>
      <c r="K3" s="4"/>
      <c r="L3" s="4"/>
      <c r="M3" s="4"/>
      <c r="N3" s="4"/>
      <c r="O3" s="4"/>
    </row>
    <row r="4" ht="15.75" spans="1:16">
      <c r="A4" s="3" t="s">
        <v>4</v>
      </c>
      <c r="B4" s="3"/>
      <c r="C4" s="3"/>
      <c r="D4" s="3"/>
      <c r="E4" s="3" t="s">
        <v>5</v>
      </c>
      <c r="F4" s="3"/>
      <c r="G4" s="3"/>
      <c r="H4" s="3"/>
      <c r="I4" s="3"/>
      <c r="J4" s="5">
        <v>46188</v>
      </c>
      <c r="K4" s="5"/>
      <c r="L4" s="5"/>
      <c r="M4" s="5"/>
      <c r="N4" s="5"/>
      <c r="O4" s="5"/>
    </row>
    <row r="5" ht="15.75" spans="1:16">
      <c r="A5" s="3" t="s">
        <v>6</v>
      </c>
      <c r="B5" s="3"/>
      <c r="C5" s="3"/>
      <c r="D5" s="3"/>
      <c r="E5" s="3" t="s">
        <v>7</v>
      </c>
      <c r="F5" s="3"/>
      <c r="G5" s="3"/>
      <c r="H5" s="3"/>
      <c r="I5" s="3"/>
      <c r="J5" s="4" t="s">
        <v>8</v>
      </c>
      <c r="K5" s="4"/>
      <c r="L5" s="4"/>
      <c r="M5" s="4"/>
      <c r="N5" s="4"/>
      <c r="O5" s="4"/>
    </row>
    <row r="6" ht="15.75" spans="1:16">
      <c r="A6" s="3" t="s">
        <v>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15.75" spans="1:16">
      <c r="A7" s="3" t="s">
        <v>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.75" spans="1:16">
      <c r="A8" s="3" t="s">
        <v>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.75" spans="1:16">
      <c r="A9" s="6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20</v>
      </c>
      <c r="J9" s="7" t="s">
        <v>21</v>
      </c>
      <c r="K9" s="7" t="s">
        <v>22</v>
      </c>
      <c r="L9" s="7" t="s">
        <v>23</v>
      </c>
      <c r="M9" s="7" t="s">
        <v>24</v>
      </c>
      <c r="N9" s="8" t="s">
        <v>24</v>
      </c>
      <c r="O9" s="9"/>
    </row>
    <row r="10" ht="20" customHeight="1" spans="1:16">
      <c r="A10" s="7">
        <v>1</v>
      </c>
      <c r="B10" s="7" t="s">
        <v>25</v>
      </c>
      <c r="C10" s="10" t="s">
        <v>26</v>
      </c>
      <c r="D10" s="7" t="s">
        <v>27</v>
      </c>
      <c r="E10" s="7" t="s">
        <v>28</v>
      </c>
      <c r="F10" s="7"/>
      <c r="G10" s="11"/>
      <c r="H10" s="7" t="s">
        <v>29</v>
      </c>
      <c r="I10" s="7" t="s">
        <v>30</v>
      </c>
      <c r="J10" s="10">
        <v>5000</v>
      </c>
      <c r="K10" s="10">
        <v>0.52</v>
      </c>
      <c r="L10" s="7">
        <f>J10*K10</f>
        <v>2600</v>
      </c>
      <c r="M10" s="7"/>
      <c r="N10" s="7"/>
      <c r="O10" s="7"/>
    </row>
    <row r="11" ht="20" customHeight="1" spans="1:16">
      <c r="A11" s="7"/>
      <c r="B11" s="12">
        <f>L11</f>
        <v>2600</v>
      </c>
      <c r="C11" s="12"/>
      <c r="D11" s="12"/>
      <c r="E11" s="12"/>
      <c r="F11" s="12"/>
      <c r="G11" s="12"/>
      <c r="H11" s="12"/>
      <c r="I11" s="7"/>
      <c r="J11" s="7"/>
      <c r="K11" s="7"/>
      <c r="L11" s="7">
        <f>SUM(L10:L10)</f>
        <v>2600</v>
      </c>
      <c r="M11" s="7"/>
      <c r="N11" s="7"/>
      <c r="O11" s="7"/>
    </row>
    <row r="12" ht="15.75" spans="1:16">
      <c r="A12" s="3" t="s">
        <v>31</v>
      </c>
      <c r="B12" s="4"/>
      <c r="C12" s="4"/>
      <c r="D12" s="13"/>
      <c r="E12" s="13"/>
      <c r="F12" s="13"/>
      <c r="G12" s="13"/>
      <c r="H12" s="13"/>
      <c r="I12" s="13"/>
      <c r="J12" s="13"/>
      <c r="K12" s="13"/>
      <c r="L12" s="13"/>
    </row>
    <row r="13" ht="20" customHeight="1" spans="1:16">
      <c r="A13" s="6" t="s">
        <v>12</v>
      </c>
      <c r="B13" s="7" t="s">
        <v>32</v>
      </c>
      <c r="C13" s="7" t="s">
        <v>33</v>
      </c>
      <c r="D13" s="7" t="s">
        <v>14</v>
      </c>
      <c r="E13" s="7" t="s">
        <v>15</v>
      </c>
      <c r="F13" s="7" t="s">
        <v>16</v>
      </c>
      <c r="G13" s="7" t="s">
        <v>21</v>
      </c>
      <c r="H13" s="7" t="s">
        <v>34</v>
      </c>
      <c r="I13" s="7" t="s">
        <v>35</v>
      </c>
      <c r="J13" s="7" t="s">
        <v>36</v>
      </c>
      <c r="K13" s="11" t="s">
        <v>37</v>
      </c>
      <c r="L13" s="11" t="s">
        <v>38</v>
      </c>
      <c r="M13" s="14" t="s">
        <v>39</v>
      </c>
      <c r="N13" s="15"/>
      <c r="O13" s="15"/>
    </row>
    <row r="14" ht="20" customHeight="1" spans="1:16">
      <c r="A14" s="7">
        <v>1</v>
      </c>
      <c r="B14" s="11" t="s">
        <v>40</v>
      </c>
      <c r="C14" s="7" t="s">
        <v>25</v>
      </c>
      <c r="D14" s="10" t="s">
        <v>26</v>
      </c>
      <c r="E14" s="7" t="s">
        <v>27</v>
      </c>
      <c r="F14" s="7" t="s">
        <v>28</v>
      </c>
      <c r="G14" s="10">
        <v>5000</v>
      </c>
      <c r="H14" s="7">
        <f>G14*I14</f>
        <v>280</v>
      </c>
      <c r="I14" s="10">
        <v>0.056</v>
      </c>
      <c r="J14" s="10">
        <v>0.3</v>
      </c>
      <c r="K14" s="11"/>
      <c r="L14" s="11">
        <v>12</v>
      </c>
      <c r="M14" s="11">
        <f>G14*J14+L14</f>
        <v>1512</v>
      </c>
      <c r="N14" s="15"/>
      <c r="O14" s="15"/>
      <c r="P14" s="16"/>
    </row>
    <row r="15" ht="20" customHeight="1" spans="1:16">
      <c r="A15" s="7">
        <v>2</v>
      </c>
      <c r="B15" s="11" t="s">
        <v>41</v>
      </c>
      <c r="C15" s="7" t="s">
        <v>42</v>
      </c>
      <c r="D15" s="10">
        <v>6</v>
      </c>
      <c r="E15" s="7"/>
      <c r="F15" s="17"/>
      <c r="G15" s="10">
        <v>10000</v>
      </c>
      <c r="H15" s="7">
        <f>G15*I15</f>
        <v>20</v>
      </c>
      <c r="I15" s="10">
        <v>0.002</v>
      </c>
      <c r="J15" s="10">
        <v>0.07</v>
      </c>
      <c r="K15" s="11"/>
      <c r="L15" s="11">
        <v>290</v>
      </c>
      <c r="M15" s="11">
        <f t="shared" ref="M15:M24" si="0">G15*J15+L15</f>
        <v>990</v>
      </c>
      <c r="N15" s="15"/>
      <c r="O15" s="15"/>
      <c r="P15" s="16"/>
    </row>
    <row r="16" ht="20" customHeight="1" spans="1:16">
      <c r="A16" s="7">
        <v>3</v>
      </c>
      <c r="B16" s="11"/>
      <c r="C16" s="7"/>
      <c r="D16" s="10"/>
      <c r="E16" s="7"/>
      <c r="F16" s="7"/>
      <c r="G16" s="10"/>
      <c r="H16" s="7">
        <f>G16*I16</f>
        <v>0</v>
      </c>
      <c r="I16" s="10"/>
      <c r="J16" s="10"/>
      <c r="K16" s="11"/>
      <c r="L16" s="11"/>
      <c r="M16" s="11">
        <f t="shared" si="0"/>
        <v>0</v>
      </c>
      <c r="N16" s="15"/>
      <c r="O16" s="15"/>
      <c r="P16" s="16"/>
    </row>
    <row r="17" ht="20" customHeight="1" spans="1:16">
      <c r="A17" s="7">
        <v>4</v>
      </c>
      <c r="B17" s="11"/>
      <c r="C17" s="7"/>
      <c r="D17" s="10"/>
      <c r="E17" s="7"/>
      <c r="F17" s="7"/>
      <c r="G17" s="17"/>
      <c r="H17" s="18"/>
      <c r="I17" s="10"/>
      <c r="J17" s="7">
        <f t="shared" ref="J15:J23" si="1">I17*K17</f>
        <v>0</v>
      </c>
      <c r="K17" s="10"/>
      <c r="L17" s="10"/>
      <c r="M17" s="11">
        <f t="shared" si="0"/>
        <v>0</v>
      </c>
      <c r="N17" s="11"/>
      <c r="O17" s="11"/>
      <c r="P17" s="16"/>
    </row>
    <row r="18" ht="20" customHeight="1" spans="1:16">
      <c r="A18" s="7">
        <v>5</v>
      </c>
      <c r="B18" s="11"/>
      <c r="C18" s="7"/>
      <c r="D18" s="10"/>
      <c r="E18" s="7"/>
      <c r="F18" s="17"/>
      <c r="G18" s="17"/>
      <c r="H18" s="18"/>
      <c r="I18" s="10"/>
      <c r="J18" s="7">
        <f t="shared" si="1"/>
        <v>0</v>
      </c>
      <c r="K18" s="10"/>
      <c r="L18" s="10"/>
      <c r="M18" s="11">
        <f t="shared" si="0"/>
        <v>0</v>
      </c>
      <c r="N18" s="11"/>
      <c r="O18" s="11"/>
      <c r="P18" s="16"/>
    </row>
    <row r="19" ht="20" customHeight="1" spans="1:16">
      <c r="A19" s="7">
        <v>6</v>
      </c>
      <c r="B19" s="11"/>
      <c r="C19" s="7"/>
      <c r="D19" s="10"/>
      <c r="E19" s="7"/>
      <c r="F19" s="17"/>
      <c r="G19" s="17"/>
      <c r="I19" s="10"/>
      <c r="J19" s="7">
        <f t="shared" si="1"/>
        <v>0</v>
      </c>
      <c r="K19" s="10"/>
      <c r="L19" s="10"/>
      <c r="M19" s="11">
        <f t="shared" si="0"/>
        <v>0</v>
      </c>
      <c r="N19" s="11"/>
      <c r="O19" s="11"/>
      <c r="P19" s="16"/>
    </row>
    <row r="20" ht="20" customHeight="1" spans="1:16">
      <c r="A20" s="7">
        <v>7</v>
      </c>
      <c r="B20" s="11"/>
      <c r="C20" s="7"/>
      <c r="D20" s="10"/>
      <c r="F20" s="17"/>
      <c r="G20" s="17"/>
      <c r="H20" s="19"/>
      <c r="I20" s="10"/>
      <c r="J20" s="7">
        <f t="shared" si="1"/>
        <v>0</v>
      </c>
      <c r="K20" s="10"/>
      <c r="L20" s="10"/>
      <c r="M20" s="11">
        <f t="shared" si="0"/>
        <v>0</v>
      </c>
      <c r="N20" s="11"/>
      <c r="O20" s="11"/>
      <c r="P20" s="16"/>
    </row>
    <row r="21" ht="20" customHeight="1" spans="1:16">
      <c r="A21" s="7">
        <v>8</v>
      </c>
      <c r="B21" s="11"/>
      <c r="C21" s="7"/>
      <c r="D21" s="10"/>
      <c r="E21" s="7"/>
      <c r="G21" s="17"/>
      <c r="H21" s="19"/>
      <c r="I21" s="10"/>
      <c r="J21" s="7">
        <f t="shared" si="1"/>
        <v>0</v>
      </c>
      <c r="K21" s="10"/>
      <c r="L21" s="10"/>
      <c r="M21" s="11">
        <f t="shared" si="0"/>
        <v>0</v>
      </c>
      <c r="N21" s="11"/>
      <c r="O21" s="11"/>
      <c r="P21" s="16"/>
    </row>
    <row r="22" ht="20" customHeight="1" spans="1:16">
      <c r="A22" s="7">
        <v>9</v>
      </c>
      <c r="B22" s="11"/>
      <c r="C22" s="7"/>
      <c r="D22" s="10"/>
      <c r="E22" s="7"/>
      <c r="F22" s="7"/>
      <c r="G22" s="17"/>
      <c r="I22" s="10"/>
      <c r="J22" s="7">
        <f t="shared" si="1"/>
        <v>0</v>
      </c>
      <c r="K22" s="10"/>
      <c r="L22" s="10"/>
      <c r="M22" s="11">
        <f t="shared" si="0"/>
        <v>0</v>
      </c>
      <c r="N22" s="11"/>
      <c r="O22" s="11"/>
      <c r="P22" s="16"/>
    </row>
    <row r="23" ht="20" customHeight="1" spans="1:16">
      <c r="A23" s="7">
        <v>10</v>
      </c>
      <c r="B23" s="11"/>
      <c r="C23" s="7"/>
      <c r="D23" s="10"/>
      <c r="E23" s="7"/>
      <c r="F23" s="17"/>
      <c r="G23" s="17"/>
      <c r="H23" s="19"/>
      <c r="I23" s="10"/>
      <c r="J23" s="7">
        <f t="shared" si="1"/>
        <v>0</v>
      </c>
      <c r="K23" s="10"/>
      <c r="L23" s="10"/>
      <c r="M23" s="11">
        <f t="shared" si="0"/>
        <v>0</v>
      </c>
      <c r="N23" s="11"/>
      <c r="O23" s="11"/>
      <c r="P23" s="16"/>
    </row>
    <row r="24" ht="20" customHeight="1" spans="1:16">
      <c r="A24" s="7">
        <v>11</v>
      </c>
      <c r="B24" s="11"/>
      <c r="C24" s="20"/>
      <c r="D24" s="10"/>
      <c r="E24" s="21"/>
      <c r="F24" s="17"/>
      <c r="G24" s="17"/>
      <c r="H24" s="11"/>
      <c r="I24" s="10"/>
      <c r="J24" s="7">
        <f>SUM(J14:J23)</f>
        <v>0.37</v>
      </c>
      <c r="K24" s="10"/>
      <c r="L24" s="10"/>
      <c r="M24" s="11">
        <f t="shared" si="0"/>
        <v>0</v>
      </c>
      <c r="N24" s="11"/>
      <c r="O24" s="11"/>
      <c r="P24" s="16"/>
    </row>
    <row r="25" ht="20" customHeight="1" spans="1:16">
      <c r="A25" s="7" t="s">
        <v>43</v>
      </c>
      <c r="B25" s="7"/>
      <c r="C25" s="7"/>
      <c r="D25" s="7"/>
      <c r="E25" s="7"/>
      <c r="F25" s="7"/>
      <c r="G25" s="7" t="s">
        <v>39</v>
      </c>
      <c r="H25" s="22">
        <f>SUM(M14:M24)</f>
        <v>2502</v>
      </c>
      <c r="I25" s="7" t="s">
        <v>44</v>
      </c>
      <c r="J25" s="23">
        <f>L11</f>
        <v>2600</v>
      </c>
      <c r="K25" s="7" t="s">
        <v>45</v>
      </c>
      <c r="L25" s="24">
        <f>J25-H25</f>
        <v>98</v>
      </c>
      <c r="M25" s="11"/>
      <c r="N25" s="11"/>
      <c r="O25" s="11"/>
    </row>
    <row r="26" ht="15.75" spans="1:1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ht="15.75" spans="1:16">
      <c r="A27" s="4" t="s">
        <v>46</v>
      </c>
      <c r="B27" s="4"/>
      <c r="C27" s="4"/>
      <c r="D27" s="13"/>
      <c r="E27" s="13"/>
      <c r="F27" s="13"/>
      <c r="G27" s="13"/>
      <c r="H27" s="13"/>
      <c r="I27" s="13"/>
      <c r="J27" s="13"/>
      <c r="K27" s="13"/>
      <c r="L27" s="13"/>
    </row>
    <row r="28" ht="15.75" spans="1:16">
      <c r="A28" s="7" t="s">
        <v>12</v>
      </c>
      <c r="B28" s="7" t="s">
        <v>47</v>
      </c>
      <c r="C28" s="7" t="s">
        <v>48</v>
      </c>
      <c r="D28" s="7" t="s">
        <v>49</v>
      </c>
      <c r="E28" s="7" t="s">
        <v>50</v>
      </c>
      <c r="F28" s="7" t="s">
        <v>51</v>
      </c>
      <c r="G28" s="7" t="s">
        <v>52</v>
      </c>
      <c r="H28" s="7"/>
      <c r="I28" s="7"/>
      <c r="J28" s="15" t="s">
        <v>53</v>
      </c>
      <c r="K28" s="6" t="s">
        <v>54</v>
      </c>
      <c r="L28" s="6" t="s">
        <v>24</v>
      </c>
      <c r="M28" s="15"/>
      <c r="N28" s="6"/>
      <c r="O28" s="6"/>
    </row>
    <row r="29" ht="15.75" spans="1:16">
      <c r="A29" s="7">
        <v>1</v>
      </c>
      <c r="B29" s="7" t="s">
        <v>55</v>
      </c>
      <c r="C29" s="7" t="s">
        <v>56</v>
      </c>
      <c r="D29" s="7">
        <v>13132221212</v>
      </c>
      <c r="E29" s="17">
        <v>46198</v>
      </c>
      <c r="F29" s="17">
        <v>46201</v>
      </c>
      <c r="G29" s="7" t="s">
        <v>57</v>
      </c>
      <c r="H29" s="7"/>
      <c r="I29" s="7"/>
      <c r="J29" s="6">
        <v>125</v>
      </c>
      <c r="K29" s="6">
        <v>31</v>
      </c>
      <c r="L29" s="6"/>
      <c r="M29" s="6"/>
      <c r="N29" s="6"/>
      <c r="O29" s="6"/>
    </row>
    <row r="30" ht="20" customHeight="1" spans="1:16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 ht="20" customHeight="1" spans="1:16">
      <c r="A31" s="25" t="s">
        <v>58</v>
      </c>
      <c r="B31" s="26"/>
      <c r="C31" s="26"/>
      <c r="D31" s="26" t="s">
        <v>59</v>
      </c>
      <c r="E31" s="26"/>
      <c r="F31" s="26"/>
      <c r="G31" s="26"/>
      <c r="H31" s="26" t="s">
        <v>60</v>
      </c>
      <c r="I31" s="26"/>
      <c r="J31" s="26"/>
      <c r="K31" s="26"/>
      <c r="L31" s="26"/>
    </row>
  </sheetData>
  <mergeCells count="24">
    <mergeCell ref="A3:D3"/>
    <mergeCell ref="E3:I3"/>
    <mergeCell ref="J3:O3"/>
    <mergeCell ref="A4:D4"/>
    <mergeCell ref="E4:I4"/>
    <mergeCell ref="J4:O4"/>
    <mergeCell ref="A5:D5"/>
    <mergeCell ref="E5:I5"/>
    <mergeCell ref="J5:O5"/>
    <mergeCell ref="A6:O6"/>
    <mergeCell ref="A7:O7"/>
    <mergeCell ref="A8:O8"/>
    <mergeCell ref="N9:O9"/>
    <mergeCell ref="B11:H11"/>
    <mergeCell ref="I11:K11"/>
    <mergeCell ref="A12:C12"/>
    <mergeCell ref="B25:F25"/>
    <mergeCell ref="A27:C27"/>
    <mergeCell ref="G28:I28"/>
    <mergeCell ref="G29:I29"/>
    <mergeCell ref="A31:C31"/>
    <mergeCell ref="D31:G31"/>
    <mergeCell ref="H31:L31"/>
    <mergeCell ref="A1:O2"/>
  </mergeCells>
  <pageMargins left="0.75" right="0.75" top="1" bottom="1" header="0.5" footer="0.5"/>
  <pageSetup paperSize="9" scale="49" orientation="portrait"/>
  <headerFooter/>
  <rowBreaks count="1" manualBreakCount="1">
    <brk id="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王艳涛</cp:lastModifiedBy>
  <dcterms:created xsi:type="dcterms:W3CDTF">2020-03-22T20:10:00Z</dcterms:created>
  <dcterms:modified xsi:type="dcterms:W3CDTF">2026-06-28T06:04:59Z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282450B8AAF246DC8B090B3BC3C0C710_13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